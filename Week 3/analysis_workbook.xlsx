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DELL\Desktop\Cynaris-Internship\Week 3\"/>
    </mc:Choice>
  </mc:AlternateContent>
  <xr:revisionPtr revIDLastSave="0" documentId="13_ncr:1_{A715EB7D-2C9B-4E58-8DF2-B7B1CB541275}" xr6:coauthVersionLast="47" xr6:coauthVersionMax="47" xr10:uidLastSave="{00000000-0000-0000-0000-000000000000}"/>
  <bookViews>
    <workbookView xWindow="-108" yWindow="-108" windowWidth="23256" windowHeight="12456" activeTab="1" xr2:uid="{CE8535E1-FD8B-4DE1-A14D-646FBAD2470F}"/>
  </bookViews>
  <sheets>
    <sheet name="Sheet2" sheetId="3" r:id="rId1"/>
    <sheet name="cleaned_sales_data" sheetId="4" r:id="rId2"/>
    <sheet name="sales_result" sheetId="2" r:id="rId3"/>
    <sheet name="Sheet1" sheetId="1" r:id="rId4"/>
  </sheets>
  <definedNames>
    <definedName name="ExternalData_1" localSheetId="2" hidden="1">sales_result!$A$1:$I$10</definedName>
    <definedName name="ExternalData_2" localSheetId="1" hidden="1">'cleaned_sales_data'!$A$1:$J$10</definedName>
    <definedName name="Slicer_category">#N/A</definedName>
    <definedName name="Slicer_city">#N/A</definedName>
    <definedName name="Slicer_quarter">#N/A</definedName>
  </definedNames>
  <calcPr calcId="191029"/>
  <pivotCaches>
    <pivotCache cacheId="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2" l="1"/>
  <c r="K3" i="2"/>
  <c r="K4" i="2"/>
  <c r="K5" i="2"/>
  <c r="K6" i="2"/>
  <c r="K7" i="2"/>
  <c r="K8" i="2"/>
  <c r="K9" i="2"/>
  <c r="K10" i="2"/>
  <c r="J2" i="2"/>
  <c r="J3" i="2"/>
  <c r="J4" i="2"/>
  <c r="J5" i="2"/>
  <c r="J6" i="2"/>
  <c r="J7" i="2"/>
  <c r="J8" i="2"/>
  <c r="J9" i="2"/>
  <c r="J1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0EA108-3795-4CCA-8AD0-31FC5BCF96CF}" keepAlive="1" name="Query - cleaned_sales_data" description="Connection to the 'cleaned_sales_data' query in the workbook." type="5" refreshedVersion="8" background="1" saveData="1">
    <dbPr connection="Provider=Microsoft.Mashup.OleDb.1;Data Source=$Workbook$;Location=cleaned_sales_data;Extended Properties=&quot;&quot;" command="SELECT * FROM [cleaned_sales_data]"/>
  </connection>
  <connection id="2" xr16:uid="{13F550CA-F9A0-475B-BB08-AED0AD893E05}" keepAlive="1" name="Query - sales_result" description="Connection to the 'sales_result' query in the workbook." type="5" refreshedVersion="8" background="1" saveData="1">
    <dbPr connection="Provider=Microsoft.Mashup.OleDb.1;Data Source=$Workbook$;Location=sales_result;Extended Properties=&quot;&quot;" command="SELECT * FROM [sales_result]"/>
  </connection>
</connections>
</file>

<file path=xl/sharedStrings.xml><?xml version="1.0" encoding="utf-8"?>
<sst xmlns="http://schemas.openxmlformats.org/spreadsheetml/2006/main" count="122" uniqueCount="49">
  <si>
    <t>sale_id</t>
  </si>
  <si>
    <t>customer_name</t>
  </si>
  <si>
    <t>product</t>
  </si>
  <si>
    <t>category</t>
  </si>
  <si>
    <t>quantity</t>
  </si>
  <si>
    <t>price</t>
  </si>
  <si>
    <t>city</t>
  </si>
  <si>
    <t>sale_date</t>
  </si>
  <si>
    <t>discount</t>
  </si>
  <si>
    <t>Arun</t>
  </si>
  <si>
    <t>Laptop</t>
  </si>
  <si>
    <t>Electronics</t>
  </si>
  <si>
    <t>Bangalore</t>
  </si>
  <si>
    <t>10.00</t>
  </si>
  <si>
    <t>Rahul</t>
  </si>
  <si>
    <t>Chair</t>
  </si>
  <si>
    <t>Furniture</t>
  </si>
  <si>
    <t>Mumbai</t>
  </si>
  <si>
    <t>NULL</t>
  </si>
  <si>
    <t>Ananya</t>
  </si>
  <si>
    <t>Keyboard</t>
  </si>
  <si>
    <t>8.00</t>
  </si>
  <si>
    <t>Kiran</t>
  </si>
  <si>
    <t>T-Shirt</t>
  </si>
  <si>
    <t>Clothing</t>
  </si>
  <si>
    <t>Hyderabad</t>
  </si>
  <si>
    <t>15.00</t>
  </si>
  <si>
    <t>Asha</t>
  </si>
  <si>
    <t>Desk</t>
  </si>
  <si>
    <t>Chennai</t>
  </si>
  <si>
    <t>Amit</t>
  </si>
  <si>
    <t>Mobile</t>
  </si>
  <si>
    <t>Sneha</t>
  </si>
  <si>
    <t>Jeans</t>
  </si>
  <si>
    <t>5.00</t>
  </si>
  <si>
    <t>Vikram</t>
  </si>
  <si>
    <t>Monitor</t>
  </si>
  <si>
    <t>Delhi</t>
  </si>
  <si>
    <t>Divya</t>
  </si>
  <si>
    <t>Table</t>
  </si>
  <si>
    <t>12.00</t>
  </si>
  <si>
    <t>revenue</t>
  </si>
  <si>
    <t>quarter</t>
  </si>
  <si>
    <t>Row Labels</t>
  </si>
  <si>
    <t>Grand Total</t>
  </si>
  <si>
    <t>Column Labels</t>
  </si>
  <si>
    <t>Q3</t>
  </si>
  <si>
    <t>Sum of revenue</t>
  </si>
  <si>
    <t>sales_amount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</si>
</sst>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3">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[analysis_workbook.xlsx]Sheet2!PivotTable1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Q3</c:v>
                </c:pt>
              </c:strCache>
            </c:strRef>
          </c:tx>
          <c:spPr>
            <a:solidFill>
              <a:schemeClr val="accent1"/>
            </a:solidFill>
            <a:ln>
              <a:noFill/>
            </a:ln>
            <a:effectLst/>
          </c:spPr>
          <c:invertIfNegative val="0"/>
          <c:cat>
            <c:multiLvlStrRef>
              <c:f>Sheet2!$A$5:$A$19</c:f>
              <c:multiLvlStrCache>
                <c:ptCount val="9"/>
                <c:lvl>
                  <c:pt idx="0">
                    <c:v>Jeans</c:v>
                  </c:pt>
                  <c:pt idx="1">
                    <c:v>Keyboard</c:v>
                  </c:pt>
                  <c:pt idx="2">
                    <c:v>Laptop</c:v>
                  </c:pt>
                  <c:pt idx="3">
                    <c:v>Desk</c:v>
                  </c:pt>
                  <c:pt idx="4">
                    <c:v>Monitor</c:v>
                  </c:pt>
                  <c:pt idx="5">
                    <c:v>Table</c:v>
                  </c:pt>
                  <c:pt idx="6">
                    <c:v>T-Shirt</c:v>
                  </c:pt>
                  <c:pt idx="7">
                    <c:v>Chair</c:v>
                  </c:pt>
                  <c:pt idx="8">
                    <c:v>Mobile</c:v>
                  </c:pt>
                </c:lvl>
                <c:lvl>
                  <c:pt idx="0">
                    <c:v>Bangalore</c:v>
                  </c:pt>
                  <c:pt idx="3">
                    <c:v>Chennai</c:v>
                  </c:pt>
                  <c:pt idx="4">
                    <c:v>Delhi</c:v>
                  </c:pt>
                  <c:pt idx="5">
                    <c:v>Hyderabad</c:v>
                  </c:pt>
                  <c:pt idx="7">
                    <c:v>Mumbai</c:v>
                  </c:pt>
                </c:lvl>
              </c:multiLvlStrCache>
            </c:multiLvlStrRef>
          </c:cat>
          <c:val>
            <c:numRef>
              <c:f>Sheet2!$B$5:$B$19</c:f>
              <c:numCache>
                <c:formatCode>General</c:formatCode>
                <c:ptCount val="9"/>
                <c:pt idx="0">
                  <c:v>6000</c:v>
                </c:pt>
                <c:pt idx="1">
                  <c:v>2500</c:v>
                </c:pt>
                <c:pt idx="2">
                  <c:v>55000</c:v>
                </c:pt>
                <c:pt idx="3">
                  <c:v>7000</c:v>
                </c:pt>
                <c:pt idx="4">
                  <c:v>15000</c:v>
                </c:pt>
                <c:pt idx="5">
                  <c:v>6000</c:v>
                </c:pt>
                <c:pt idx="6">
                  <c:v>3600</c:v>
                </c:pt>
                <c:pt idx="7">
                  <c:v>4500</c:v>
                </c:pt>
                <c:pt idx="8">
                  <c:v>25000</c:v>
                </c:pt>
              </c:numCache>
            </c:numRef>
          </c:val>
          <c:extLst>
            <c:ext xmlns:c16="http://schemas.microsoft.com/office/drawing/2014/chart" uri="{C3380CC4-5D6E-409C-BE32-E72D297353CC}">
              <c16:uniqueId val="{00000000-FD92-4A7C-B1BB-84ABEF3C6317}"/>
            </c:ext>
          </c:extLst>
        </c:ser>
        <c:dLbls>
          <c:showLegendKey val="0"/>
          <c:showVal val="0"/>
          <c:showCatName val="0"/>
          <c:showSerName val="0"/>
          <c:showPercent val="0"/>
          <c:showBubbleSize val="0"/>
        </c:dLbls>
        <c:gapWidth val="219"/>
        <c:overlap val="-27"/>
        <c:axId val="771580784"/>
        <c:axId val="930808304"/>
      </c:barChart>
      <c:catAx>
        <c:axId val="77158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808304"/>
        <c:crosses val="autoZero"/>
        <c:auto val="1"/>
        <c:lblAlgn val="ctr"/>
        <c:lblOffset val="100"/>
        <c:noMultiLvlLbl val="0"/>
      </c:catAx>
      <c:valAx>
        <c:axId val="93080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58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659130</xdr:colOff>
      <xdr:row>22</xdr:row>
      <xdr:rowOff>160020</xdr:rowOff>
    </xdr:from>
    <xdr:to>
      <xdr:col>6</xdr:col>
      <xdr:colOff>605790</xdr:colOff>
      <xdr:row>37</xdr:row>
      <xdr:rowOff>160020</xdr:rowOff>
    </xdr:to>
    <xdr:graphicFrame macro="">
      <xdr:nvGraphicFramePr>
        <xdr:cNvPr id="2" name="Chart 1">
          <a:extLst>
            <a:ext uri="{FF2B5EF4-FFF2-40B4-BE49-F238E27FC236}">
              <a16:creationId xmlns:a16="http://schemas.microsoft.com/office/drawing/2014/main" id="{62742CE5-3FC8-ACC1-7D0B-1ABD7F9D2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198120</xdr:colOff>
      <xdr:row>1</xdr:row>
      <xdr:rowOff>30480</xdr:rowOff>
    </xdr:from>
    <xdr:to>
      <xdr:col>12</xdr:col>
      <xdr:colOff>198120</xdr:colOff>
      <xdr:row>14</xdr:row>
      <xdr:rowOff>120015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1237FCF2-FF3F-BF2C-C5F8-555A60B9E89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652260" y="213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144780</xdr:colOff>
      <xdr:row>14</xdr:row>
      <xdr:rowOff>160020</xdr:rowOff>
    </xdr:from>
    <xdr:to>
      <xdr:col>12</xdr:col>
      <xdr:colOff>144780</xdr:colOff>
      <xdr:row>28</xdr:row>
      <xdr:rowOff>66675</xdr:rowOff>
    </xdr:to>
    <mc:AlternateContent xmlns:mc="http://schemas.openxmlformats.org/markup-compatibility/2006">
      <mc:Choice xmlns:a14="http://schemas.microsoft.com/office/drawing/2010/main" Requires="a14">
        <xdr:graphicFrame macro="">
          <xdr:nvGraphicFramePr>
            <xdr:cNvPr id="4" name="city">
              <a:extLst>
                <a:ext uri="{FF2B5EF4-FFF2-40B4-BE49-F238E27FC236}">
                  <a16:creationId xmlns:a16="http://schemas.microsoft.com/office/drawing/2014/main" id="{DFA944C2-E518-4CC5-6B71-1A2CB2FDA88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598920" y="2720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274320</xdr:colOff>
      <xdr:row>9</xdr:row>
      <xdr:rowOff>175260</xdr:rowOff>
    </xdr:from>
    <xdr:to>
      <xdr:col>11</xdr:col>
      <xdr:colOff>274320</xdr:colOff>
      <xdr:row>23</xdr:row>
      <xdr:rowOff>81915</xdr:rowOff>
    </xdr:to>
    <mc:AlternateContent xmlns:mc="http://schemas.openxmlformats.org/markup-compatibility/2006">
      <mc:Choice xmlns:a14="http://schemas.microsoft.com/office/drawing/2010/main" Requires="a14">
        <xdr:graphicFrame macro="">
          <xdr:nvGraphicFramePr>
            <xdr:cNvPr id="5" name="quarter">
              <a:extLst>
                <a:ext uri="{FF2B5EF4-FFF2-40B4-BE49-F238E27FC236}">
                  <a16:creationId xmlns:a16="http://schemas.microsoft.com/office/drawing/2014/main" id="{2AF5B1B7-EA3E-C6CC-2E54-7F97F07E4A2B}"/>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6118860" y="1821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2.734403703704" createdVersion="8" refreshedVersion="8" minRefreshableVersion="3" recordCount="9" xr:uid="{72F8E5ED-B6D9-4C60-92FC-18164F9ECD56}">
  <cacheSource type="worksheet">
    <worksheetSource name="sales_result"/>
  </cacheSource>
  <cacheFields count="11">
    <cacheField name="sale_id" numFmtId="0">
      <sharedItems containsSemiMixedTypes="0" containsString="0" containsNumber="1" containsInteger="1" minValue="1" maxValue="10"/>
    </cacheField>
    <cacheField name="customer_name" numFmtId="0">
      <sharedItems/>
    </cacheField>
    <cacheField name="product" numFmtId="0">
      <sharedItems count="9">
        <s v="Laptop"/>
        <s v="Chair"/>
        <s v="Keyboard"/>
        <s v="T-Shirt"/>
        <s v="Desk"/>
        <s v="Mobile"/>
        <s v="Jeans"/>
        <s v="Monitor"/>
        <s v="Table"/>
      </sharedItems>
    </cacheField>
    <cacheField name="category" numFmtId="0">
      <sharedItems count="3">
        <s v="Electronics"/>
        <s v="Furniture"/>
        <s v="Clothing"/>
      </sharedItems>
    </cacheField>
    <cacheField name="quantity" numFmtId="0">
      <sharedItems containsSemiMixedTypes="0" containsString="0" containsNumber="1" containsInteger="1" minValue="1" maxValue="3"/>
    </cacheField>
    <cacheField name="price" numFmtId="0">
      <sharedItems containsSemiMixedTypes="0" containsString="0" containsNumber="1" containsInteger="1" minValue="1200" maxValue="55000"/>
    </cacheField>
    <cacheField name="city" numFmtId="0">
      <sharedItems count="5">
        <s v="Bangalore"/>
        <s v="Mumbai"/>
        <s v="Hyderabad"/>
        <s v="Chennai"/>
        <s v="Delhi"/>
      </sharedItems>
    </cacheField>
    <cacheField name="sale_date" numFmtId="14">
      <sharedItems containsSemiMixedTypes="0" containsNonDate="0" containsDate="1" containsString="0" minDate="2026-08-01T00:00:00" maxDate="2026-08-23T00:00:00"/>
    </cacheField>
    <cacheField name="discount" numFmtId="0">
      <sharedItems/>
    </cacheField>
    <cacheField name="revenue" numFmtId="0">
      <sharedItems containsSemiMixedTypes="0" containsString="0" containsNumber="1" containsInteger="1" minValue="2500" maxValue="55000"/>
    </cacheField>
    <cacheField name="quarter" numFmtId="0">
      <sharedItems count="1">
        <s v="Q3"/>
      </sharedItems>
    </cacheField>
  </cacheFields>
  <extLst>
    <ext xmlns:x14="http://schemas.microsoft.com/office/spreadsheetml/2009/9/main" uri="{725AE2AE-9491-48be-B2B4-4EB974FC3084}">
      <x14:pivotCacheDefinition pivotCacheId="18988094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
    <s v="Arun"/>
    <x v="0"/>
    <x v="0"/>
    <n v="1"/>
    <n v="55000"/>
    <x v="0"/>
    <d v="2026-08-01T00:00:00"/>
    <s v="10.00"/>
    <n v="55000"/>
    <x v="0"/>
  </r>
  <r>
    <n v="3"/>
    <s v="Rahul"/>
    <x v="1"/>
    <x v="1"/>
    <n v="1"/>
    <n v="4500"/>
    <x v="1"/>
    <d v="2026-08-05T00:00:00"/>
    <s v="NULL"/>
    <n v="4500"/>
    <x v="0"/>
  </r>
  <r>
    <n v="4"/>
    <s v="Ananya"/>
    <x v="2"/>
    <x v="0"/>
    <n v="1"/>
    <n v="2500"/>
    <x v="0"/>
    <d v="2026-08-07T00:00:00"/>
    <s v="8.00"/>
    <n v="2500"/>
    <x v="0"/>
  </r>
  <r>
    <n v="5"/>
    <s v="Kiran"/>
    <x v="3"/>
    <x v="2"/>
    <n v="3"/>
    <n v="1200"/>
    <x v="2"/>
    <d v="2026-08-10T00:00:00"/>
    <s v="15.00"/>
    <n v="3600"/>
    <x v="0"/>
  </r>
  <r>
    <n v="6"/>
    <s v="Asha"/>
    <x v="4"/>
    <x v="1"/>
    <n v="1"/>
    <n v="7000"/>
    <x v="3"/>
    <d v="2026-08-12T00:00:00"/>
    <s v="NULL"/>
    <n v="7000"/>
    <x v="0"/>
  </r>
  <r>
    <n v="7"/>
    <s v="Amit"/>
    <x v="5"/>
    <x v="0"/>
    <n v="1"/>
    <n v="25000"/>
    <x v="1"/>
    <d v="2026-08-15T00:00:00"/>
    <s v="10.00"/>
    <n v="25000"/>
    <x v="0"/>
  </r>
  <r>
    <n v="8"/>
    <s v="Sneha"/>
    <x v="6"/>
    <x v="2"/>
    <n v="2"/>
    <n v="3000"/>
    <x v="0"/>
    <d v="2026-08-18T00:00:00"/>
    <s v="5.00"/>
    <n v="6000"/>
    <x v="0"/>
  </r>
  <r>
    <n v="9"/>
    <s v="Vikram"/>
    <x v="7"/>
    <x v="0"/>
    <n v="1"/>
    <n v="15000"/>
    <x v="4"/>
    <d v="2026-08-20T00:00:00"/>
    <s v="NULL"/>
    <n v="15000"/>
    <x v="0"/>
  </r>
  <r>
    <n v="10"/>
    <s v="Divya"/>
    <x v="8"/>
    <x v="1"/>
    <n v="1"/>
    <n v="6000"/>
    <x v="2"/>
    <d v="2026-08-22T00:00:00"/>
    <s v="12.00"/>
    <n v="6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5DBEBF-8A37-4BF3-A5B6-33942A1C49D9}"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19" firstHeaderRow="1" firstDataRow="2" firstDataCol="1"/>
  <pivotFields count="11">
    <pivotField showAll="0"/>
    <pivotField showAll="0"/>
    <pivotField axis="axisRow" showAll="0">
      <items count="10">
        <item x="1"/>
        <item x="4"/>
        <item x="6"/>
        <item x="2"/>
        <item x="0"/>
        <item x="5"/>
        <item x="7"/>
        <item x="8"/>
        <item x="3"/>
        <item t="default"/>
      </items>
    </pivotField>
    <pivotField showAll="0">
      <items count="4">
        <item x="2"/>
        <item x="0"/>
        <item x="1"/>
        <item t="default"/>
      </items>
    </pivotField>
    <pivotField showAll="0"/>
    <pivotField showAll="0"/>
    <pivotField axis="axisRow" showAll="0">
      <items count="6">
        <item x="0"/>
        <item x="3"/>
        <item x="4"/>
        <item x="2"/>
        <item x="1"/>
        <item t="default"/>
      </items>
    </pivotField>
    <pivotField numFmtId="14" showAll="0"/>
    <pivotField showAll="0"/>
    <pivotField dataField="1" showAll="0"/>
    <pivotField axis="axisCol" showAll="0">
      <items count="2">
        <item x="0"/>
        <item t="default"/>
      </items>
    </pivotField>
  </pivotFields>
  <rowFields count="2">
    <field x="6"/>
    <field x="2"/>
  </rowFields>
  <rowItems count="15">
    <i>
      <x/>
    </i>
    <i r="1">
      <x v="2"/>
    </i>
    <i r="1">
      <x v="3"/>
    </i>
    <i r="1">
      <x v="4"/>
    </i>
    <i>
      <x v="1"/>
    </i>
    <i r="1">
      <x v="1"/>
    </i>
    <i>
      <x v="2"/>
    </i>
    <i r="1">
      <x v="6"/>
    </i>
    <i>
      <x v="3"/>
    </i>
    <i r="1">
      <x v="7"/>
    </i>
    <i r="1">
      <x v="8"/>
    </i>
    <i>
      <x v="4"/>
    </i>
    <i r="1">
      <x/>
    </i>
    <i r="1">
      <x v="5"/>
    </i>
    <i t="grand">
      <x/>
    </i>
  </rowItems>
  <colFields count="1">
    <field x="10"/>
  </colFields>
  <colItems count="2">
    <i>
      <x/>
    </i>
    <i t="grand">
      <x/>
    </i>
  </colItems>
  <dataFields count="1">
    <dataField name="Sum of revenue" fld="9" baseField="0" baseItem="0"/>
  </dataFields>
  <chartFormats count="1">
    <chartFormat chart="0" format="0" series="1">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EF977A43-1450-4078-863C-5D43ADCD3946}" autoFormatId="16" applyNumberFormats="0" applyBorderFormats="0" applyFontFormats="0" applyPatternFormats="0" applyAlignmentFormats="0" applyWidthHeightFormats="0">
  <queryTableRefresh nextId="11">
    <queryTableFields count="10">
      <queryTableField id="1" name="sale_id" tableColumnId="1"/>
      <queryTableField id="2" name="customer_name" tableColumnId="2"/>
      <queryTableField id="3" name="product" tableColumnId="3"/>
      <queryTableField id="4" name="category" tableColumnId="4"/>
      <queryTableField id="5" name="quantity" tableColumnId="5"/>
      <queryTableField id="6" name="price" tableColumnId="6"/>
      <queryTableField id="7" name="city" tableColumnId="7"/>
      <queryTableField id="8" name="sale_date" tableColumnId="8"/>
      <queryTableField id="9" name="discount" tableColumnId="9"/>
      <queryTableField id="10" name="sales_amount"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CF13878-6931-4E26-97AC-A397889CD007}" autoFormatId="16" applyNumberFormats="0" applyBorderFormats="0" applyFontFormats="0" applyPatternFormats="0" applyAlignmentFormats="0" applyWidthHeightFormats="0">
  <queryTableRefresh nextId="12" unboundColumnsRight="2">
    <queryTableFields count="11">
      <queryTableField id="1" name="sale_id" tableColumnId="1"/>
      <queryTableField id="2" name="customer_name" tableColumnId="2"/>
      <queryTableField id="3" name="product" tableColumnId="3"/>
      <queryTableField id="4" name="category" tableColumnId="4"/>
      <queryTableField id="5" name="quantity" tableColumnId="5"/>
      <queryTableField id="6" name="price" tableColumnId="6"/>
      <queryTableField id="7" name="city" tableColumnId="7"/>
      <queryTableField id="8" name="sale_date" tableColumnId="8"/>
      <queryTableField id="9" name="discount" tableColumnId="9"/>
      <queryTableField id="10" dataBound="0"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34AA8FE-DE2D-45B0-BA8E-EF62EE49092A}" sourceName="category">
  <pivotTables>
    <pivotTable tabId="3" name="PivotTable1"/>
  </pivotTables>
  <data>
    <tabular pivotCacheId="189880941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AA28E03-5C9E-4DBA-B341-CC68518CCB4A}" sourceName="city">
  <pivotTables>
    <pivotTable tabId="3" name="PivotTable1"/>
  </pivotTables>
  <data>
    <tabular pivotCacheId="1898809419">
      <items count="5">
        <i x="0" s="1"/>
        <i x="3" s="1"/>
        <i x="4"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77F498E-E376-4605-B1B6-F3F77B7D3F74}" sourceName="quarter">
  <pivotTables>
    <pivotTable tabId="3" name="PivotTable1"/>
  </pivotTables>
  <data>
    <tabular pivotCacheId="1898809419">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5F39FA6-B0CB-49E9-9A29-C1FC4F996D37}" cache="Slicer_category" caption="category" rowHeight="234950"/>
  <slicer name="city" xr10:uid="{9C3BCF2A-E10A-42EE-8FCB-7613000A3624}" cache="Slicer_city" caption="city" rowHeight="234950"/>
  <slicer name="quarter" xr10:uid="{D67B6468-75D7-4C70-83AE-D5EC0D0E518F}" cache="Slicer_quarter" caption="quart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5EEF0A-2B78-4A7C-91AC-7765336CF426}" name="cleaned_sales_data" displayName="cleaned_sales_data" ref="A1:J10" tableType="queryTable" totalsRowShown="0">
  <autoFilter ref="A1:J10" xr:uid="{325EEF0A-2B78-4A7C-91AC-7765336CF426}"/>
  <tableColumns count="10">
    <tableColumn id="1" xr3:uid="{43BDAB2F-A795-43B1-BB5F-AAE08BE0526E}" uniqueName="1" name="sale_id" queryTableFieldId="1"/>
    <tableColumn id="2" xr3:uid="{C8467BB4-4241-4B92-9166-554A54A17CC1}" uniqueName="2" name="customer_name" queryTableFieldId="2" dataDxfId="4"/>
    <tableColumn id="3" xr3:uid="{3CC78239-0729-4496-8BD2-926D88CAF753}" uniqueName="3" name="product" queryTableFieldId="3" dataDxfId="3"/>
    <tableColumn id="4" xr3:uid="{5B5D998B-A7F4-4C85-9AF1-06DA7D8D3FD3}" uniqueName="4" name="category" queryTableFieldId="4" dataDxfId="2"/>
    <tableColumn id="5" xr3:uid="{C7832742-9666-4E18-B52A-9E78CBA3BB11}" uniqueName="5" name="quantity" queryTableFieldId="5"/>
    <tableColumn id="6" xr3:uid="{0F77011F-2B9A-48A3-8B74-591BAD35AA4D}" uniqueName="6" name="price" queryTableFieldId="6"/>
    <tableColumn id="7" xr3:uid="{E7894EA3-810C-41C3-B85C-6F5787E00BB7}" uniqueName="7" name="city" queryTableFieldId="7" dataDxfId="1"/>
    <tableColumn id="8" xr3:uid="{FB9A110B-4D73-4AC6-8CA4-3629003EB6C1}" uniqueName="8" name="sale_date" queryTableFieldId="8" dataDxfId="0"/>
    <tableColumn id="9" xr3:uid="{D61A9E98-C2DF-42EC-9B77-E174FB342A6F}" uniqueName="9" name="discount" queryTableFieldId="9"/>
    <tableColumn id="10" xr3:uid="{C1C846BB-ACE3-4157-B279-BA06EEE5D6F3}" uniqueName="10" name="sales_amount"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2D1FB3-ECFA-4016-A3A7-3FC8C5B441A4}" name="sales_result" displayName="sales_result" ref="A1:K10" tableType="queryTable" totalsRowShown="0">
  <autoFilter ref="A1:K10" xr:uid="{A82D1FB3-ECFA-4016-A3A7-3FC8C5B441A4}"/>
  <tableColumns count="11">
    <tableColumn id="1" xr3:uid="{8E7E0CC9-5A6A-4231-AC48-3FA661F8EC9B}" uniqueName="1" name="sale_id" queryTableFieldId="1"/>
    <tableColumn id="2" xr3:uid="{6CE1D0BD-9EC5-465D-BF17-646888FC22A8}" uniqueName="2" name="customer_name" queryTableFieldId="2" dataDxfId="12"/>
    <tableColumn id="3" xr3:uid="{0DD60478-F0E6-4738-AB94-6DAD2198B240}" uniqueName="3" name="product" queryTableFieldId="3" dataDxfId="11"/>
    <tableColumn id="4" xr3:uid="{87DA3F6A-C93B-412A-B5C9-E3FA2B5A036C}" uniqueName="4" name="category" queryTableFieldId="4" dataDxfId="10"/>
    <tableColumn id="5" xr3:uid="{ACD33F80-FA44-4484-B387-E8DA9122A60B}" uniqueName="5" name="quantity" queryTableFieldId="5"/>
    <tableColumn id="6" xr3:uid="{BE413B0F-4094-4205-9B1E-E06194A868A1}" uniqueName="6" name="price" queryTableFieldId="6"/>
    <tableColumn id="7" xr3:uid="{B81E003C-94BF-4532-A1F7-19642C3995A0}" uniqueName="7" name="city" queryTableFieldId="7" dataDxfId="9"/>
    <tableColumn id="8" xr3:uid="{52E6B167-FB8A-4757-A144-6196AA1CA40F}" uniqueName="8" name="sale_date" queryTableFieldId="8" dataDxfId="8"/>
    <tableColumn id="9" xr3:uid="{89AC7C19-1B42-4EB4-8C4B-89650104AFB4}" uniqueName="9" name="discount" queryTableFieldId="9" dataDxfId="7"/>
    <tableColumn id="10" xr3:uid="{A5B84CC5-D28C-492F-86AE-5E9C8F265A59}" uniqueName="10" name="revenue" queryTableFieldId="10" dataDxfId="6">
      <calculatedColumnFormula>E2*F2</calculatedColumnFormula>
    </tableColumn>
    <tableColumn id="11" xr3:uid="{50EF2EBC-15E8-4957-A0B6-9D912752BBEF}" uniqueName="11" name="quarter" queryTableFieldId="11" dataDxfId="5">
      <calculatedColumnFormula>"Q"&amp;ROUNDUP(MONTH(H2)/3,0)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16CB5-376E-42B2-BFAE-E4804D417A0E}">
  <dimension ref="A3:C19"/>
  <sheetViews>
    <sheetView topLeftCell="A2" workbookViewId="0">
      <selection activeCell="A3" sqref="A3"/>
    </sheetView>
  </sheetViews>
  <sheetFormatPr defaultRowHeight="14.4" x14ac:dyDescent="0.3"/>
  <cols>
    <col min="1" max="1" width="14.44140625" bestFit="1" customWidth="1"/>
    <col min="2" max="2" width="15.5546875" bestFit="1" customWidth="1"/>
    <col min="3" max="3" width="10.77734375" bestFit="1" customWidth="1"/>
  </cols>
  <sheetData>
    <row r="3" spans="1:3" x14ac:dyDescent="0.3">
      <c r="A3" s="3" t="s">
        <v>47</v>
      </c>
      <c r="B3" s="3" t="s">
        <v>45</v>
      </c>
    </row>
    <row r="4" spans="1:3" x14ac:dyDescent="0.3">
      <c r="A4" s="3" t="s">
        <v>43</v>
      </c>
      <c r="B4" t="s">
        <v>46</v>
      </c>
      <c r="C4" t="s">
        <v>44</v>
      </c>
    </row>
    <row r="5" spans="1:3" x14ac:dyDescent="0.3">
      <c r="A5" s="4" t="s">
        <v>12</v>
      </c>
      <c r="B5" s="1">
        <v>63500</v>
      </c>
      <c r="C5" s="1">
        <v>63500</v>
      </c>
    </row>
    <row r="6" spans="1:3" x14ac:dyDescent="0.3">
      <c r="A6" s="5" t="s">
        <v>33</v>
      </c>
      <c r="B6" s="1">
        <v>6000</v>
      </c>
      <c r="C6" s="1">
        <v>6000</v>
      </c>
    </row>
    <row r="7" spans="1:3" x14ac:dyDescent="0.3">
      <c r="A7" s="5" t="s">
        <v>20</v>
      </c>
      <c r="B7" s="1">
        <v>2500</v>
      </c>
      <c r="C7" s="1">
        <v>2500</v>
      </c>
    </row>
    <row r="8" spans="1:3" x14ac:dyDescent="0.3">
      <c r="A8" s="5" t="s">
        <v>10</v>
      </c>
      <c r="B8" s="1">
        <v>55000</v>
      </c>
      <c r="C8" s="1">
        <v>55000</v>
      </c>
    </row>
    <row r="9" spans="1:3" x14ac:dyDescent="0.3">
      <c r="A9" s="4" t="s">
        <v>29</v>
      </c>
      <c r="B9" s="1">
        <v>7000</v>
      </c>
      <c r="C9" s="1">
        <v>7000</v>
      </c>
    </row>
    <row r="10" spans="1:3" x14ac:dyDescent="0.3">
      <c r="A10" s="5" t="s">
        <v>28</v>
      </c>
      <c r="B10" s="1">
        <v>7000</v>
      </c>
      <c r="C10" s="1">
        <v>7000</v>
      </c>
    </row>
    <row r="11" spans="1:3" x14ac:dyDescent="0.3">
      <c r="A11" s="4" t="s">
        <v>37</v>
      </c>
      <c r="B11" s="1">
        <v>15000</v>
      </c>
      <c r="C11" s="1">
        <v>15000</v>
      </c>
    </row>
    <row r="12" spans="1:3" x14ac:dyDescent="0.3">
      <c r="A12" s="5" t="s">
        <v>36</v>
      </c>
      <c r="B12" s="1">
        <v>15000</v>
      </c>
      <c r="C12" s="1">
        <v>15000</v>
      </c>
    </row>
    <row r="13" spans="1:3" x14ac:dyDescent="0.3">
      <c r="A13" s="4" t="s">
        <v>25</v>
      </c>
      <c r="B13" s="1">
        <v>9600</v>
      </c>
      <c r="C13" s="1">
        <v>9600</v>
      </c>
    </row>
    <row r="14" spans="1:3" x14ac:dyDescent="0.3">
      <c r="A14" s="5" t="s">
        <v>39</v>
      </c>
      <c r="B14" s="1">
        <v>6000</v>
      </c>
      <c r="C14" s="1">
        <v>6000</v>
      </c>
    </row>
    <row r="15" spans="1:3" x14ac:dyDescent="0.3">
      <c r="A15" s="5" t="s">
        <v>23</v>
      </c>
      <c r="B15" s="1">
        <v>3600</v>
      </c>
      <c r="C15" s="1">
        <v>3600</v>
      </c>
    </row>
    <row r="16" spans="1:3" x14ac:dyDescent="0.3">
      <c r="A16" s="4" t="s">
        <v>17</v>
      </c>
      <c r="B16" s="1">
        <v>29500</v>
      </c>
      <c r="C16" s="1">
        <v>29500</v>
      </c>
    </row>
    <row r="17" spans="1:3" x14ac:dyDescent="0.3">
      <c r="A17" s="5" t="s">
        <v>15</v>
      </c>
      <c r="B17" s="1">
        <v>4500</v>
      </c>
      <c r="C17" s="1">
        <v>4500</v>
      </c>
    </row>
    <row r="18" spans="1:3" x14ac:dyDescent="0.3">
      <c r="A18" s="5" t="s">
        <v>31</v>
      </c>
      <c r="B18" s="1">
        <v>25000</v>
      </c>
      <c r="C18" s="1">
        <v>25000</v>
      </c>
    </row>
    <row r="19" spans="1:3" x14ac:dyDescent="0.3">
      <c r="A19" s="4" t="s">
        <v>44</v>
      </c>
      <c r="B19" s="1">
        <v>124600</v>
      </c>
      <c r="C19" s="1">
        <v>124600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19E61-21CF-4A6F-9453-F60FA5E307EE}">
  <dimension ref="A1:J10"/>
  <sheetViews>
    <sheetView tabSelected="1" workbookViewId="0">
      <selection activeCell="J16" sqref="J16"/>
    </sheetView>
  </sheetViews>
  <sheetFormatPr defaultRowHeight="14.4" x14ac:dyDescent="0.3"/>
  <cols>
    <col min="1" max="1" width="9" bestFit="1" customWidth="1"/>
    <col min="2" max="2" width="17" bestFit="1" customWidth="1"/>
    <col min="3" max="3" width="9.88671875" bestFit="1" customWidth="1"/>
    <col min="4" max="4" width="10.5546875" bestFit="1" customWidth="1"/>
    <col min="5" max="5" width="10.33203125" bestFit="1" customWidth="1"/>
    <col min="6" max="6" width="7.33203125" bestFit="1" customWidth="1"/>
    <col min="7" max="7" width="9.77734375" bestFit="1" customWidth="1"/>
    <col min="8" max="8" width="11.21875" bestFit="1" customWidth="1"/>
    <col min="9" max="9" width="10.44140625" bestFit="1" customWidth="1"/>
    <col min="10" max="10" width="14.88671875" bestFit="1" customWidth="1"/>
  </cols>
  <sheetData>
    <row r="1" spans="1:10" x14ac:dyDescent="0.3">
      <c r="A1" t="s">
        <v>0</v>
      </c>
      <c r="B1" t="s">
        <v>1</v>
      </c>
      <c r="C1" t="s">
        <v>2</v>
      </c>
      <c r="D1" t="s">
        <v>3</v>
      </c>
      <c r="E1" t="s">
        <v>4</v>
      </c>
      <c r="F1" t="s">
        <v>5</v>
      </c>
      <c r="G1" t="s">
        <v>6</v>
      </c>
      <c r="H1" t="s">
        <v>7</v>
      </c>
      <c r="I1" t="s">
        <v>8</v>
      </c>
      <c r="J1" t="s">
        <v>48</v>
      </c>
    </row>
    <row r="2" spans="1:10" x14ac:dyDescent="0.3">
      <c r="A2">
        <v>1</v>
      </c>
      <c r="B2" s="1" t="s">
        <v>9</v>
      </c>
      <c r="C2" s="1" t="s">
        <v>10</v>
      </c>
      <c r="D2" s="1" t="s">
        <v>11</v>
      </c>
      <c r="E2">
        <v>1</v>
      </c>
      <c r="F2">
        <v>55000</v>
      </c>
      <c r="G2" s="1" t="s">
        <v>12</v>
      </c>
      <c r="H2" s="2">
        <v>46235</v>
      </c>
      <c r="I2">
        <v>10</v>
      </c>
      <c r="J2">
        <v>55000</v>
      </c>
    </row>
    <row r="3" spans="1:10" x14ac:dyDescent="0.3">
      <c r="A3">
        <v>3</v>
      </c>
      <c r="B3" s="1" t="s">
        <v>14</v>
      </c>
      <c r="C3" s="1" t="s">
        <v>15</v>
      </c>
      <c r="D3" s="1" t="s">
        <v>16</v>
      </c>
      <c r="E3">
        <v>1</v>
      </c>
      <c r="F3">
        <v>4500</v>
      </c>
      <c r="G3" s="1" t="s">
        <v>17</v>
      </c>
      <c r="H3" s="2">
        <v>46239</v>
      </c>
      <c r="I3">
        <v>10</v>
      </c>
      <c r="J3">
        <v>4500</v>
      </c>
    </row>
    <row r="4" spans="1:10" x14ac:dyDescent="0.3">
      <c r="A4">
        <v>4</v>
      </c>
      <c r="B4" s="1" t="s">
        <v>19</v>
      </c>
      <c r="C4" s="1" t="s">
        <v>20</v>
      </c>
      <c r="D4" s="1" t="s">
        <v>11</v>
      </c>
      <c r="E4">
        <v>1</v>
      </c>
      <c r="F4">
        <v>2500</v>
      </c>
      <c r="G4" s="1" t="s">
        <v>12</v>
      </c>
      <c r="H4" s="2">
        <v>46241</v>
      </c>
      <c r="I4">
        <v>8</v>
      </c>
      <c r="J4">
        <v>2500</v>
      </c>
    </row>
    <row r="5" spans="1:10" x14ac:dyDescent="0.3">
      <c r="A5">
        <v>5</v>
      </c>
      <c r="B5" s="1" t="s">
        <v>22</v>
      </c>
      <c r="C5" s="1" t="s">
        <v>23</v>
      </c>
      <c r="D5" s="1" t="s">
        <v>24</v>
      </c>
      <c r="E5">
        <v>3</v>
      </c>
      <c r="F5">
        <v>1200</v>
      </c>
      <c r="G5" s="1" t="s">
        <v>25</v>
      </c>
      <c r="H5" s="2">
        <v>46244</v>
      </c>
      <c r="I5">
        <v>15</v>
      </c>
      <c r="J5">
        <v>3600</v>
      </c>
    </row>
    <row r="6" spans="1:10" x14ac:dyDescent="0.3">
      <c r="A6">
        <v>6</v>
      </c>
      <c r="B6" s="1" t="s">
        <v>27</v>
      </c>
      <c r="C6" s="1" t="s">
        <v>28</v>
      </c>
      <c r="D6" s="1" t="s">
        <v>16</v>
      </c>
      <c r="E6">
        <v>1</v>
      </c>
      <c r="F6">
        <v>7000</v>
      </c>
      <c r="G6" s="1" t="s">
        <v>29</v>
      </c>
      <c r="H6" s="2">
        <v>46246</v>
      </c>
      <c r="I6">
        <v>10</v>
      </c>
      <c r="J6">
        <v>7000</v>
      </c>
    </row>
    <row r="7" spans="1:10" x14ac:dyDescent="0.3">
      <c r="A7">
        <v>7</v>
      </c>
      <c r="B7" s="1" t="s">
        <v>30</v>
      </c>
      <c r="C7" s="1" t="s">
        <v>31</v>
      </c>
      <c r="D7" s="1" t="s">
        <v>11</v>
      </c>
      <c r="E7">
        <v>1</v>
      </c>
      <c r="F7">
        <v>25000</v>
      </c>
      <c r="G7" s="1" t="s">
        <v>17</v>
      </c>
      <c r="H7" s="2">
        <v>46249</v>
      </c>
      <c r="I7">
        <v>10</v>
      </c>
      <c r="J7">
        <v>25000</v>
      </c>
    </row>
    <row r="8" spans="1:10" x14ac:dyDescent="0.3">
      <c r="A8">
        <v>8</v>
      </c>
      <c r="B8" s="1" t="s">
        <v>32</v>
      </c>
      <c r="C8" s="1" t="s">
        <v>33</v>
      </c>
      <c r="D8" s="1" t="s">
        <v>24</v>
      </c>
      <c r="E8">
        <v>2</v>
      </c>
      <c r="F8">
        <v>3000</v>
      </c>
      <c r="G8" s="1" t="s">
        <v>12</v>
      </c>
      <c r="H8" s="2">
        <v>46252</v>
      </c>
      <c r="I8">
        <v>5</v>
      </c>
      <c r="J8">
        <v>6000</v>
      </c>
    </row>
    <row r="9" spans="1:10" x14ac:dyDescent="0.3">
      <c r="A9">
        <v>9</v>
      </c>
      <c r="B9" s="1" t="s">
        <v>35</v>
      </c>
      <c r="C9" s="1" t="s">
        <v>36</v>
      </c>
      <c r="D9" s="1" t="s">
        <v>11</v>
      </c>
      <c r="E9">
        <v>1</v>
      </c>
      <c r="F9">
        <v>15000</v>
      </c>
      <c r="G9" s="1" t="s">
        <v>37</v>
      </c>
      <c r="H9" s="2">
        <v>46254</v>
      </c>
      <c r="I9">
        <v>10</v>
      </c>
      <c r="J9">
        <v>15000</v>
      </c>
    </row>
    <row r="10" spans="1:10" x14ac:dyDescent="0.3">
      <c r="A10">
        <v>10</v>
      </c>
      <c r="B10" s="1" t="s">
        <v>38</v>
      </c>
      <c r="C10" s="1" t="s">
        <v>39</v>
      </c>
      <c r="D10" s="1" t="s">
        <v>16</v>
      </c>
      <c r="E10">
        <v>1</v>
      </c>
      <c r="F10">
        <v>6000</v>
      </c>
      <c r="G10" s="1" t="s">
        <v>25</v>
      </c>
      <c r="H10" s="2">
        <v>46256</v>
      </c>
      <c r="I10">
        <v>12</v>
      </c>
      <c r="J10">
        <v>6000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CAC63-10D8-444A-A79C-1829A1124789}">
  <dimension ref="A1:K10"/>
  <sheetViews>
    <sheetView workbookViewId="0">
      <selection activeCell="H14" sqref="H14"/>
    </sheetView>
  </sheetViews>
  <sheetFormatPr defaultRowHeight="14.4" x14ac:dyDescent="0.3"/>
  <cols>
    <col min="1" max="1" width="9" bestFit="1" customWidth="1"/>
    <col min="2" max="2" width="17" bestFit="1" customWidth="1"/>
    <col min="3" max="3" width="9.88671875" bestFit="1" customWidth="1"/>
    <col min="4" max="4" width="10.5546875" bestFit="1" customWidth="1"/>
    <col min="5" max="5" width="10.33203125" bestFit="1" customWidth="1"/>
    <col min="6" max="6" width="7.33203125" bestFit="1" customWidth="1"/>
    <col min="7" max="7" width="9.77734375" bestFit="1" customWidth="1"/>
    <col min="8" max="8" width="11.21875" bestFit="1" customWidth="1"/>
    <col min="9" max="9" width="10.44140625" bestFit="1" customWidth="1"/>
  </cols>
  <sheetData>
    <row r="1" spans="1:11" x14ac:dyDescent="0.3">
      <c r="A1" t="s">
        <v>0</v>
      </c>
      <c r="B1" t="s">
        <v>1</v>
      </c>
      <c r="C1" t="s">
        <v>2</v>
      </c>
      <c r="D1" t="s">
        <v>3</v>
      </c>
      <c r="E1" t="s">
        <v>4</v>
      </c>
      <c r="F1" t="s">
        <v>5</v>
      </c>
      <c r="G1" t="s">
        <v>6</v>
      </c>
      <c r="H1" t="s">
        <v>7</v>
      </c>
      <c r="I1" t="s">
        <v>8</v>
      </c>
      <c r="J1" t="s">
        <v>41</v>
      </c>
      <c r="K1" t="s">
        <v>42</v>
      </c>
    </row>
    <row r="2" spans="1:11" x14ac:dyDescent="0.3">
      <c r="A2">
        <v>1</v>
      </c>
      <c r="B2" s="1" t="s">
        <v>9</v>
      </c>
      <c r="C2" s="1" t="s">
        <v>10</v>
      </c>
      <c r="D2" s="1" t="s">
        <v>11</v>
      </c>
      <c r="E2">
        <v>1</v>
      </c>
      <c r="F2">
        <v>55000</v>
      </c>
      <c r="G2" s="1" t="s">
        <v>12</v>
      </c>
      <c r="H2" s="2">
        <v>46235</v>
      </c>
      <c r="I2" s="1" t="s">
        <v>13</v>
      </c>
      <c r="J2">
        <f t="shared" ref="J2:J10" si="0">E2*F2</f>
        <v>55000</v>
      </c>
      <c r="K2" s="1" t="str">
        <f t="shared" ref="K2:K10" si="1">"Q"&amp;ROUNDUP(MONTH(H2)/3,0)</f>
        <v>Q3</v>
      </c>
    </row>
    <row r="3" spans="1:11" x14ac:dyDescent="0.3">
      <c r="A3">
        <v>3</v>
      </c>
      <c r="B3" s="1" t="s">
        <v>14</v>
      </c>
      <c r="C3" s="1" t="s">
        <v>15</v>
      </c>
      <c r="D3" s="1" t="s">
        <v>16</v>
      </c>
      <c r="E3">
        <v>1</v>
      </c>
      <c r="F3">
        <v>4500</v>
      </c>
      <c r="G3" s="1" t="s">
        <v>17</v>
      </c>
      <c r="H3" s="2">
        <v>46239</v>
      </c>
      <c r="I3" s="1" t="s">
        <v>18</v>
      </c>
      <c r="J3">
        <f t="shared" si="0"/>
        <v>4500</v>
      </c>
      <c r="K3" s="1" t="str">
        <f t="shared" si="1"/>
        <v>Q3</v>
      </c>
    </row>
    <row r="4" spans="1:11" x14ac:dyDescent="0.3">
      <c r="A4">
        <v>4</v>
      </c>
      <c r="B4" s="1" t="s">
        <v>19</v>
      </c>
      <c r="C4" s="1" t="s">
        <v>20</v>
      </c>
      <c r="D4" s="1" t="s">
        <v>11</v>
      </c>
      <c r="E4">
        <v>1</v>
      </c>
      <c r="F4">
        <v>2500</v>
      </c>
      <c r="G4" s="1" t="s">
        <v>12</v>
      </c>
      <c r="H4" s="2">
        <v>46241</v>
      </c>
      <c r="I4" s="1" t="s">
        <v>21</v>
      </c>
      <c r="J4">
        <f t="shared" si="0"/>
        <v>2500</v>
      </c>
      <c r="K4" s="1" t="str">
        <f t="shared" si="1"/>
        <v>Q3</v>
      </c>
    </row>
    <row r="5" spans="1:11" x14ac:dyDescent="0.3">
      <c r="A5">
        <v>5</v>
      </c>
      <c r="B5" s="1" t="s">
        <v>22</v>
      </c>
      <c r="C5" s="1" t="s">
        <v>23</v>
      </c>
      <c r="D5" s="1" t="s">
        <v>24</v>
      </c>
      <c r="E5">
        <v>3</v>
      </c>
      <c r="F5">
        <v>1200</v>
      </c>
      <c r="G5" s="1" t="s">
        <v>25</v>
      </c>
      <c r="H5" s="2">
        <v>46244</v>
      </c>
      <c r="I5" s="1" t="s">
        <v>26</v>
      </c>
      <c r="J5">
        <f t="shared" si="0"/>
        <v>3600</v>
      </c>
      <c r="K5" s="1" t="str">
        <f t="shared" si="1"/>
        <v>Q3</v>
      </c>
    </row>
    <row r="6" spans="1:11" x14ac:dyDescent="0.3">
      <c r="A6">
        <v>6</v>
      </c>
      <c r="B6" s="1" t="s">
        <v>27</v>
      </c>
      <c r="C6" s="1" t="s">
        <v>28</v>
      </c>
      <c r="D6" s="1" t="s">
        <v>16</v>
      </c>
      <c r="E6">
        <v>1</v>
      </c>
      <c r="F6">
        <v>7000</v>
      </c>
      <c r="G6" s="1" t="s">
        <v>29</v>
      </c>
      <c r="H6" s="2">
        <v>46246</v>
      </c>
      <c r="I6" s="1" t="s">
        <v>18</v>
      </c>
      <c r="J6">
        <f t="shared" si="0"/>
        <v>7000</v>
      </c>
      <c r="K6" s="1" t="str">
        <f t="shared" si="1"/>
        <v>Q3</v>
      </c>
    </row>
    <row r="7" spans="1:11" x14ac:dyDescent="0.3">
      <c r="A7">
        <v>7</v>
      </c>
      <c r="B7" s="1" t="s">
        <v>30</v>
      </c>
      <c r="C7" s="1" t="s">
        <v>31</v>
      </c>
      <c r="D7" s="1" t="s">
        <v>11</v>
      </c>
      <c r="E7">
        <v>1</v>
      </c>
      <c r="F7">
        <v>25000</v>
      </c>
      <c r="G7" s="1" t="s">
        <v>17</v>
      </c>
      <c r="H7" s="2">
        <v>46249</v>
      </c>
      <c r="I7" s="1" t="s">
        <v>13</v>
      </c>
      <c r="J7">
        <f t="shared" si="0"/>
        <v>25000</v>
      </c>
      <c r="K7" s="1" t="str">
        <f t="shared" si="1"/>
        <v>Q3</v>
      </c>
    </row>
    <row r="8" spans="1:11" x14ac:dyDescent="0.3">
      <c r="A8">
        <v>8</v>
      </c>
      <c r="B8" s="1" t="s">
        <v>32</v>
      </c>
      <c r="C8" s="1" t="s">
        <v>33</v>
      </c>
      <c r="D8" s="1" t="s">
        <v>24</v>
      </c>
      <c r="E8">
        <v>2</v>
      </c>
      <c r="F8">
        <v>3000</v>
      </c>
      <c r="G8" s="1" t="s">
        <v>12</v>
      </c>
      <c r="H8" s="2">
        <v>46252</v>
      </c>
      <c r="I8" s="1" t="s">
        <v>34</v>
      </c>
      <c r="J8">
        <f t="shared" si="0"/>
        <v>6000</v>
      </c>
      <c r="K8" s="1" t="str">
        <f t="shared" si="1"/>
        <v>Q3</v>
      </c>
    </row>
    <row r="9" spans="1:11" x14ac:dyDescent="0.3">
      <c r="A9">
        <v>9</v>
      </c>
      <c r="B9" s="1" t="s">
        <v>35</v>
      </c>
      <c r="C9" s="1" t="s">
        <v>36</v>
      </c>
      <c r="D9" s="1" t="s">
        <v>11</v>
      </c>
      <c r="E9">
        <v>1</v>
      </c>
      <c r="F9">
        <v>15000</v>
      </c>
      <c r="G9" s="1" t="s">
        <v>37</v>
      </c>
      <c r="H9" s="2">
        <v>46254</v>
      </c>
      <c r="I9" s="1" t="s">
        <v>18</v>
      </c>
      <c r="J9">
        <f t="shared" si="0"/>
        <v>15000</v>
      </c>
      <c r="K9" s="1" t="str">
        <f t="shared" si="1"/>
        <v>Q3</v>
      </c>
    </row>
    <row r="10" spans="1:11" x14ac:dyDescent="0.3">
      <c r="A10">
        <v>10</v>
      </c>
      <c r="B10" s="1" t="s">
        <v>38</v>
      </c>
      <c r="C10" s="1" t="s">
        <v>39</v>
      </c>
      <c r="D10" s="1" t="s">
        <v>16</v>
      </c>
      <c r="E10">
        <v>1</v>
      </c>
      <c r="F10">
        <v>6000</v>
      </c>
      <c r="G10" s="1" t="s">
        <v>25</v>
      </c>
      <c r="H10" s="2">
        <v>46256</v>
      </c>
      <c r="I10" s="1" t="s">
        <v>40</v>
      </c>
      <c r="J10">
        <f t="shared" si="0"/>
        <v>6000</v>
      </c>
      <c r="K10" s="1" t="str">
        <f t="shared" si="1"/>
        <v>Q3</v>
      </c>
    </row>
  </sheetData>
  <conditionalFormatting sqref="J2:J10">
    <cfRule type="colorScale" priority="1">
      <colorScale>
        <cfvo type="min"/>
        <cfvo type="percentile" val="50"/>
        <cfvo type="max"/>
        <color rgb="FFF8696B"/>
        <color rgb="FFFCFCFF"/>
        <color rgb="FF5A8AC6"/>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C136F-7344-4C05-A313-16ADBC8DF9B2}">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FB7E70-61D1-4D3A-85B4-AB16E499F2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cleaned_sales_data</vt:lpstr>
      <vt:lpstr>sales_result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aharini903@gmail.com</dc:creator>
  <cp:lastModifiedBy>aharini903@gmail.com</cp:lastModifiedBy>
  <dcterms:created xsi:type="dcterms:W3CDTF">2026-09-17T11:54:43Z</dcterms:created>
  <dcterms:modified xsi:type="dcterms:W3CDTF">2026-09-17T12:19:17Z</dcterms:modified>
</cp:coreProperties>
</file>